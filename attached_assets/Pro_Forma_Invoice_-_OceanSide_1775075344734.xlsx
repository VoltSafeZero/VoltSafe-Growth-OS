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5"/>
  </sheets>
  <definedNames>
    <definedName name="Company_Name">#REF!</definedName>
  </definedNames>
  <calcPr/>
</workbook>
</file>

<file path=xl/sharedStrings.xml><?xml version="1.0" encoding="utf-8"?>
<sst xmlns="http://schemas.openxmlformats.org/spreadsheetml/2006/main" count="96" uniqueCount="92">
  <si>
    <t>CONFIDENTIAL</t>
  </si>
  <si>
    <t>PRO FORMA INVOICE</t>
  </si>
  <si>
    <t>410 - 1444 Alberni Street, Vancouver</t>
  </si>
  <si>
    <t>BC, Canada, V6G 2Z4</t>
  </si>
  <si>
    <t>P: +1 833 999 6960</t>
  </si>
  <si>
    <t>E: accounting@voltsafe.com</t>
  </si>
  <si>
    <t>VoltSafe Marine 30A Pedestals</t>
  </si>
  <si>
    <t>Attention: Joseph Ravitch</t>
  </si>
  <si>
    <t>INVOICE#:</t>
  </si>
  <si>
    <t>2057-M</t>
  </si>
  <si>
    <t>City of Oceanside-Public Works</t>
  </si>
  <si>
    <t>DATE:</t>
  </si>
  <si>
    <t>1540 Harbor Drive North</t>
  </si>
  <si>
    <t>Oceanside, CA 92054</t>
  </si>
  <si>
    <t xml:space="preserve">PAYMENT TERMS:     </t>
  </si>
  <si>
    <t>10% to secure order</t>
  </si>
  <si>
    <t>E: jravitch@oceansideca.org</t>
  </si>
  <si>
    <t>40% at production</t>
  </si>
  <si>
    <t>P: +1 760-435-4029</t>
  </si>
  <si>
    <t>50% install is complete</t>
  </si>
  <si>
    <t>Details</t>
  </si>
  <si>
    <t>QTY</t>
  </si>
  <si>
    <t>Cost/Unit</t>
  </si>
  <si>
    <t>% Discount</t>
  </si>
  <si>
    <t>AMOUNT</t>
  </si>
  <si>
    <t>Hardware (one time)</t>
  </si>
  <si>
    <t>VoltSafe Marine Pedestals Including:</t>
  </si>
  <si>
    <t>`</t>
  </si>
  <si>
    <t>1 x 20A GFCI outlet</t>
  </si>
  <si>
    <t>2 x SharkBite Water Spigots</t>
  </si>
  <si>
    <t>5 x Circuit Breakers (1 x 20A, 4 X 30A)</t>
  </si>
  <si>
    <t>1X LED module with fuse and photosensitive cells</t>
  </si>
  <si>
    <t>VoltSafe Marine 30A Smart Outlet</t>
  </si>
  <si>
    <t>VoltSafe Marine 50A Smart Outlet</t>
  </si>
  <si>
    <t>LTE Mesh Node (at cost)</t>
  </si>
  <si>
    <t>Onsite Setup, Training and Travel (optional)</t>
  </si>
  <si>
    <t>Additional Adapters (optional)</t>
  </si>
  <si>
    <t>SUBTOTAL (ONE TIME)</t>
  </si>
  <si>
    <t>Software (recurring)</t>
  </si>
  <si>
    <t>Web Dashboard Monthly</t>
  </si>
  <si>
    <t>Cost/Slip</t>
  </si>
  <si>
    <t>Site Address:</t>
  </si>
  <si>
    <t>First 3 months:</t>
  </si>
  <si>
    <t>FREE</t>
  </si>
  <si>
    <t>marine.voltsafe.com</t>
  </si>
  <si>
    <t>After, Monthly:</t>
  </si>
  <si>
    <t>Billing Period:</t>
  </si>
  <si>
    <t>TBD - TBD</t>
  </si>
  <si>
    <t>Or, Annually</t>
  </si>
  <si>
    <t>Entitlement number:</t>
  </si>
  <si>
    <t>TBD</t>
  </si>
  <si>
    <t>Licensed to:</t>
  </si>
  <si>
    <t>OceanSide Marina</t>
  </si>
  <si>
    <t>SUBTOTAL</t>
  </si>
  <si>
    <t>(USD)</t>
  </si>
  <si>
    <t>TAX RATE</t>
  </si>
  <si>
    <t>(GST)</t>
  </si>
  <si>
    <t xml:space="preserve">SHIPPING </t>
  </si>
  <si>
    <t>TOTAL</t>
  </si>
  <si>
    <t>Due Now (10%)</t>
  </si>
  <si>
    <t>TERMS &amp; AKNOWLEDGEMENTS:</t>
  </si>
  <si>
    <t>1)</t>
  </si>
  <si>
    <t>The 10% refundable deposit (to secure pricing) will be returned to the customer, upon request, at any time prior to beginning manufacturing</t>
  </si>
  <si>
    <t>2)</t>
  </si>
  <si>
    <t>The 10% payment to secure invoice 2057-M is refundable subject to: VoltSafe certification</t>
  </si>
  <si>
    <t>3)</t>
  </si>
  <si>
    <t>UL/CSA Certification (Pending)</t>
  </si>
  <si>
    <t xml:space="preserve">4) </t>
  </si>
  <si>
    <t>The timing of the 40% payment to begin the order (manufacturing) is TBD</t>
  </si>
  <si>
    <t>5)</t>
  </si>
  <si>
    <t>Delivery date and installation (final 50% payment) is TBD</t>
  </si>
  <si>
    <t>6)</t>
  </si>
  <si>
    <t>Assembly and installation not included in this quote</t>
  </si>
  <si>
    <t>7)</t>
  </si>
  <si>
    <t>If you have any questions regarding this proforma, please contact sanad@voltsafe.com , +1 236-889-2133</t>
  </si>
  <si>
    <t>8)</t>
  </si>
  <si>
    <t>Preferred method of payment is Wire Transfer (see details below). Please contact accounting@voltsafe.com for more information</t>
  </si>
  <si>
    <r>
      <rPr>
        <rFont val="Roboto"/>
        <b/>
        <color theme="1"/>
        <sz val="11.0"/>
      </rPr>
      <t>Beneficiary Name:</t>
    </r>
    <r>
      <rPr>
        <rFont val="Roboto"/>
        <color theme="1"/>
        <sz val="11.0"/>
      </rPr>
      <t xml:space="preserve"> VoltSafe Inc. </t>
    </r>
  </si>
  <si>
    <r>
      <rPr>
        <rFont val="Roboto"/>
        <b/>
        <color theme="1"/>
        <sz val="11.0"/>
      </rPr>
      <t>Beneficiary Address:</t>
    </r>
    <r>
      <rPr>
        <rFont val="Roboto"/>
        <color theme="1"/>
        <sz val="11.0"/>
      </rPr>
      <t xml:space="preserve"> 410-1444 Alberni Street, Vancouver, BC, Canada</t>
    </r>
  </si>
  <si>
    <r>
      <rPr>
        <rFont val="Roboto"/>
        <b/>
        <color theme="1"/>
        <sz val="11.0"/>
      </rPr>
      <t>Beneficiary Bank Account Number:</t>
    </r>
    <r>
      <rPr>
        <rFont val="Roboto"/>
        <color theme="1"/>
        <sz val="11.0"/>
      </rPr>
      <t xml:space="preserve"> 5231252</t>
    </r>
  </si>
  <si>
    <r>
      <rPr>
        <rFont val="Roboto"/>
        <b/>
        <color theme="1"/>
        <sz val="11.0"/>
      </rPr>
      <t xml:space="preserve">Beneficiary Bank Name: </t>
    </r>
    <r>
      <rPr>
        <rFont val="Roboto"/>
        <color theme="1"/>
        <sz val="11.0"/>
      </rPr>
      <t>TD Canada Trust</t>
    </r>
  </si>
  <si>
    <r>
      <rPr>
        <rFont val="Roboto"/>
        <b/>
        <color rgb="FF1F1F1F"/>
        <sz val="11.0"/>
      </rPr>
      <t>Beneficiary Bank Address:</t>
    </r>
    <r>
      <rPr>
        <rFont val="Roboto"/>
        <color rgb="FF1F1F1F"/>
        <sz val="11.0"/>
      </rPr>
      <t xml:space="preserve"> 4994 Kingsway, Burnaby, BC, Canada</t>
    </r>
  </si>
  <si>
    <r>
      <rPr>
        <rFont val="Roboto"/>
        <b/>
        <color theme="1"/>
        <sz val="11.0"/>
      </rPr>
      <t>Swift Code:</t>
    </r>
    <r>
      <rPr>
        <rFont val="Roboto"/>
        <color theme="1"/>
        <sz val="11.0"/>
      </rPr>
      <t xml:space="preserve"> TDOMCATTTOR</t>
    </r>
  </si>
  <si>
    <t>POTENTIAL PEDESTAL CONFIGURATIONS (SUMMARY):</t>
  </si>
  <si>
    <t>Option 1 (2 outlets/pedestal)</t>
  </si>
  <si>
    <t>Option 1A (2 x 30A)</t>
  </si>
  <si>
    <t>Option 1B (2 x 50A)</t>
  </si>
  <si>
    <t>Option 1C (1 x 30A, 1 x 50A)</t>
  </si>
  <si>
    <t>Option 2 (4 outlets/pedestal)</t>
  </si>
  <si>
    <t>Option 2A (4 x 30A)</t>
  </si>
  <si>
    <t>Option 2B (4 x 50A)</t>
  </si>
  <si>
    <t>Option 2C (2 x 30A, 2 x 50A)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</si>
</sst>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&lt;=9999999]###\-####;\(###\)\ ###\-####"/>
    <numFmt numFmtId="165" formatCode="[$-F800]dddd\,\ mmmm\ dd\,\ yyyy"/>
    <numFmt numFmtId="166" formatCode="mmm-dd-yyyy"/>
    <numFmt numFmtId="167" formatCode="&quot;$&quot;#,##0.00"/>
    <numFmt numFmtId="168" formatCode="&quot;$&quot;#,##0"/>
  </numFmts>
  <fonts count="37">
    <font>
      <sz val="11.0"/>
      <color theme="4"/>
      <name val="Arial"/>
      <scheme val="minor"/>
    </font>
    <font>
      <b/>
      <sz val="26.0"/>
      <color rgb="FFFF0000"/>
      <name val="Roboto"/>
    </font>
    <font>
      <sz val="11.0"/>
      <color theme="1"/>
      <name val="Roboto"/>
    </font>
    <font>
      <b/>
      <sz val="26.0"/>
      <color theme="1"/>
      <name val="Roboto"/>
    </font>
    <font>
      <sz val="29.0"/>
      <color theme="1"/>
      <name val="Roboto"/>
    </font>
    <font>
      <b/>
      <sz val="12.0"/>
      <color theme="1"/>
      <name val="Roboto"/>
    </font>
    <font>
      <b/>
      <i/>
      <sz val="12.0"/>
      <color theme="1"/>
      <name val="Roboto"/>
    </font>
    <font>
      <sz val="15.0"/>
      <color theme="1"/>
      <name val="Roboto"/>
    </font>
    <font>
      <b/>
      <sz val="11.0"/>
      <color theme="1"/>
      <name val="Roboto"/>
    </font>
    <font>
      <color theme="1"/>
      <name val="Roboto"/>
    </font>
    <font>
      <u/>
      <sz val="11.0"/>
      <color theme="1"/>
      <name val="Roboto"/>
    </font>
    <font>
      <b/>
      <sz val="12.0"/>
      <color rgb="FFFFFFFF"/>
      <name val="Roboto"/>
    </font>
    <font>
      <i/>
      <strike/>
      <sz val="11.0"/>
      <color theme="1"/>
      <name val="Roboto"/>
    </font>
    <font>
      <i/>
      <sz val="11.0"/>
      <color theme="1"/>
      <name val="Roboto"/>
    </font>
    <font>
      <sz val="11.0"/>
      <color rgb="FF666666"/>
      <name val="Roboto"/>
    </font>
    <font>
      <b/>
      <sz val="11.0"/>
      <color rgb="FF6AA84F"/>
      <name val="Roboto"/>
    </font>
    <font>
      <sz val="11.0"/>
      <color rgb="FF6AA84F"/>
      <name val="Roboto"/>
    </font>
    <font>
      <b/>
      <sz val="11.0"/>
      <color rgb="FF000000"/>
      <name val="Roboto"/>
    </font>
    <font>
      <b/>
      <i/>
      <sz val="11.0"/>
      <color theme="1"/>
      <name val="Roboto"/>
    </font>
    <font>
      <b/>
      <i/>
      <strike/>
      <sz val="11.0"/>
      <color theme="1"/>
      <name val="Roboto"/>
    </font>
    <font>
      <b/>
      <color theme="1"/>
      <name val="Roboto"/>
    </font>
    <font>
      <b/>
      <sz val="11.0"/>
      <color rgb="FF666666"/>
      <name val="Roboto"/>
    </font>
    <font>
      <b/>
      <color rgb="FF000000"/>
      <name val="Roboto"/>
    </font>
    <font>
      <color rgb="FF000000"/>
      <name val="Roboto"/>
    </font>
    <font>
      <u/>
      <sz val="11.0"/>
      <color rgb="FF3C78D8"/>
      <name val="Roboto"/>
    </font>
    <font>
      <strike/>
      <sz val="11.0"/>
      <color theme="1"/>
      <name val="Roboto"/>
    </font>
    <font>
      <strike/>
      <sz val="11.0"/>
      <color rgb="FF000000"/>
      <name val="Roboto"/>
    </font>
    <font>
      <b/>
      <color rgb="FF6AA84F"/>
      <name val="Roboto"/>
    </font>
    <font>
      <strike/>
      <color rgb="FF000000"/>
      <name val="Roboto"/>
    </font>
    <font>
      <b/>
      <u/>
      <sz val="11.0"/>
      <color theme="1"/>
      <name val="Roboto"/>
    </font>
    <font>
      <b/>
      <u/>
      <sz val="12.0"/>
      <color theme="1"/>
      <name val="Roboto"/>
    </font>
    <font>
      <strike/>
      <sz val="10.0"/>
      <color theme="1"/>
      <name val="Roboto"/>
    </font>
    <font>
      <sz val="10.0"/>
      <color theme="1"/>
      <name val="Roboto"/>
    </font>
    <font>
      <sz val="11.0"/>
      <color rgb="FF1F1F1F"/>
      <name val="Roboto"/>
    </font>
    <font>
      <b/>
      <u/>
      <sz val="12.0"/>
      <color theme="1"/>
      <name val="Roboto"/>
    </font>
    <font>
      <b/>
      <i/>
      <color theme="1"/>
      <name val="Roboto"/>
    </font>
    <font>
      <b/>
      <sz val="16.0"/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5" numFmtId="165" xfId="0" applyAlignment="1" applyFont="1" applyNumberFormat="1">
      <alignment horizontal="left" shrinkToFit="0" wrapText="0"/>
    </xf>
    <xf borderId="0" fillId="0" fontId="5" numFmtId="14" xfId="0" applyAlignment="1" applyFont="1" applyNumberFormat="1">
      <alignment horizontal="left" shrinkToFit="0" wrapText="0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shrinkToFit="0" wrapText="0"/>
    </xf>
    <xf borderId="0" fillId="0" fontId="9" numFmtId="0" xfId="0" applyAlignment="1" applyFont="1">
      <alignment horizontal="left" shrinkToFit="0" wrapText="1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shrinkToFit="0" vertical="top" wrapText="1"/>
    </xf>
    <xf borderId="0" fillId="0" fontId="2" numFmtId="166" xfId="0" applyAlignment="1" applyFont="1" applyNumberFormat="1">
      <alignment horizontal="right" readingOrder="0" shrinkToFit="0" vertical="top" wrapText="1"/>
    </xf>
    <xf borderId="0" fillId="0" fontId="8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right" readingOrder="0" shrinkToFit="0" vertical="top" wrapText="1"/>
    </xf>
    <xf borderId="0" fillId="0" fontId="8" numFmtId="0" xfId="0" applyAlignment="1" applyFont="1">
      <alignment horizontal="right" readingOrder="0" shrinkToFit="0" vertical="top" wrapText="1"/>
    </xf>
    <xf borderId="0" fillId="0" fontId="10" numFmtId="0" xfId="0" applyAlignment="1" applyFont="1">
      <alignment horizontal="left" readingOrder="0" shrinkToFit="0" wrapText="1"/>
    </xf>
    <xf borderId="0" fillId="0" fontId="2" numFmtId="164" xfId="0" applyAlignment="1" applyFont="1" applyNumberFormat="1">
      <alignment horizontal="left" readingOrder="0" shrinkToFit="0" wrapText="0"/>
    </xf>
    <xf borderId="0" fillId="2" fontId="2" numFmtId="0" xfId="0" applyAlignment="1" applyFill="1" applyFont="1">
      <alignment horizontal="center" shrinkToFit="0" vertical="center" wrapText="1"/>
    </xf>
    <xf borderId="0" fillId="2" fontId="11" numFmtId="0" xfId="0" applyAlignment="1" applyFont="1">
      <alignment horizontal="left" shrinkToFit="0" vertical="center" wrapText="0"/>
    </xf>
    <xf borderId="0" fillId="2" fontId="11" numFmtId="0" xfId="0" applyAlignment="1" applyFont="1">
      <alignment horizontal="center" shrinkToFit="0" vertical="center" wrapText="0"/>
    </xf>
    <xf borderId="0" fillId="2" fontId="11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right" shrinkToFit="0" vertical="center" wrapText="0"/>
    </xf>
    <xf borderId="0" fillId="3" fontId="5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8" numFmtId="0" xfId="0" applyAlignment="1" applyFont="1">
      <alignment horizontal="left" readingOrder="0" shrinkToFit="0" vertical="center" wrapText="1"/>
    </xf>
    <xf borderId="0" fillId="4" fontId="12" numFmtId="167" xfId="0" applyAlignment="1" applyFont="1" applyNumberFormat="1">
      <alignment horizontal="center" readingOrder="0" shrinkToFit="0" vertical="center" wrapText="1"/>
    </xf>
    <xf borderId="0" fillId="4" fontId="13" numFmtId="167" xfId="0" applyAlignment="1" applyFont="1" applyNumberFormat="1">
      <alignment horizontal="center" readingOrder="0" shrinkToFit="0" vertical="center" wrapText="1"/>
    </xf>
    <xf borderId="0" fillId="4" fontId="13" numFmtId="9" xfId="0" applyAlignment="1" applyFont="1" applyNumberFormat="1">
      <alignment horizontal="center" readingOrder="0" shrinkToFit="0" vertical="center" wrapText="0"/>
    </xf>
    <xf borderId="0" fillId="4" fontId="12" numFmtId="167" xfId="0" applyAlignment="1" applyFont="1" applyNumberFormat="1">
      <alignment horizontal="right" shrinkToFit="0" vertical="center" wrapText="0"/>
    </xf>
    <xf borderId="0" fillId="4" fontId="2" numFmtId="0" xfId="0" applyAlignment="1" applyFont="1">
      <alignment horizontal="center" shrinkToFit="0" wrapText="1"/>
    </xf>
    <xf borderId="0" fillId="4" fontId="14" numFmtId="0" xfId="0" applyAlignment="1" applyFont="1">
      <alignment horizontal="left" readingOrder="0" shrinkToFit="0" wrapText="1"/>
    </xf>
    <xf borderId="0" fillId="4" fontId="15" numFmtId="168" xfId="0" applyAlignment="1" applyFont="1" applyNumberFormat="1">
      <alignment horizontal="center" shrinkToFit="0" wrapText="1"/>
    </xf>
    <xf borderId="0" fillId="4" fontId="16" numFmtId="167" xfId="0" applyAlignment="1" applyFont="1" applyNumberFormat="1">
      <alignment horizontal="center" shrinkToFit="0" wrapText="1"/>
    </xf>
    <xf borderId="0" fillId="4" fontId="15" numFmtId="9" xfId="0" applyAlignment="1" applyFont="1" applyNumberFormat="1">
      <alignment horizontal="center" readingOrder="0" shrinkToFit="0" wrapText="0"/>
    </xf>
    <xf borderId="0" fillId="4" fontId="15" numFmtId="167" xfId="0" applyAlignment="1" applyFont="1" applyNumberFormat="1">
      <alignment horizontal="right" shrinkToFit="0" wrapText="0"/>
    </xf>
    <xf borderId="0" fillId="4" fontId="2" numFmtId="167" xfId="0" applyAlignment="1" applyFont="1" applyNumberFormat="1">
      <alignment horizontal="center" shrinkToFit="0" wrapText="1"/>
    </xf>
    <xf borderId="0" fillId="4" fontId="2" numFmtId="167" xfId="0" applyAlignment="1" applyFont="1" applyNumberFormat="1">
      <alignment horizontal="center" shrinkToFit="0" wrapText="0"/>
    </xf>
    <xf borderId="0" fillId="4" fontId="2" numFmtId="167" xfId="0" applyAlignment="1" applyFont="1" applyNumberFormat="1">
      <alignment horizontal="right" shrinkToFit="0" wrapText="0"/>
    </xf>
    <xf borderId="0" fillId="4" fontId="2" numFmtId="0" xfId="0" applyAlignment="1" applyFont="1">
      <alignment horizontal="center" readingOrder="0" shrinkToFit="0" wrapText="1"/>
    </xf>
    <xf borderId="0" fillId="4" fontId="17" numFmtId="0" xfId="0" applyAlignment="1" applyFont="1">
      <alignment horizontal="left" readingOrder="0" shrinkToFit="0" wrapText="1"/>
    </xf>
    <xf borderId="0" fillId="4" fontId="12" numFmtId="167" xfId="0" applyAlignment="1" applyFont="1" applyNumberFormat="1">
      <alignment horizontal="center" readingOrder="0" shrinkToFit="0" wrapText="1"/>
    </xf>
    <xf borderId="0" fillId="4" fontId="12" numFmtId="167" xfId="0" applyAlignment="1" applyFont="1" applyNumberFormat="1">
      <alignment horizontal="center" shrinkToFit="0" wrapText="1"/>
    </xf>
    <xf borderId="0" fillId="4" fontId="12" numFmtId="167" xfId="0" applyAlignment="1" applyFont="1" applyNumberFormat="1">
      <alignment horizontal="center" shrinkToFit="0" wrapText="0"/>
    </xf>
    <xf borderId="0" fillId="4" fontId="12" numFmtId="167" xfId="0" applyAlignment="1" applyFont="1" applyNumberFormat="1">
      <alignment horizontal="right" shrinkToFit="0" wrapText="0"/>
    </xf>
    <xf borderId="0" fillId="4" fontId="15" numFmtId="167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2" numFmtId="168" xfId="0" applyAlignment="1" applyFont="1" applyNumberFormat="1">
      <alignment horizontal="center" readingOrder="0" shrinkToFit="0" vertical="center" wrapText="1"/>
    </xf>
    <xf borderId="0" fillId="0" fontId="2" numFmtId="167" xfId="0" applyAlignment="1" applyFont="1" applyNumberFormat="1">
      <alignment horizontal="center" readingOrder="0" shrinkToFit="0" vertical="center" wrapText="1"/>
    </xf>
    <xf borderId="0" fillId="0" fontId="2" numFmtId="167" xfId="0" applyAlignment="1" applyFont="1" applyNumberFormat="1">
      <alignment horizontal="center" shrinkToFit="0" vertical="center" wrapText="0"/>
    </xf>
    <xf borderId="0" fillId="0" fontId="8" numFmtId="167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4" fontId="18" numFmtId="0" xfId="0" applyAlignment="1" applyFont="1">
      <alignment horizontal="left" readingOrder="0" shrinkToFit="0" vertical="bottom" wrapText="0"/>
    </xf>
    <xf borderId="0" fillId="4" fontId="2" numFmtId="0" xfId="0" applyAlignment="1" applyFont="1">
      <alignment horizontal="center" readingOrder="0" shrinkToFit="0" vertical="center" wrapText="0"/>
    </xf>
    <xf borderId="0" fillId="4" fontId="2" numFmtId="168" xfId="0" applyAlignment="1" applyFont="1" applyNumberFormat="1">
      <alignment horizontal="center" readingOrder="0" shrinkToFit="0" vertical="center" wrapText="0"/>
    </xf>
    <xf borderId="0" fillId="4" fontId="2" numFmtId="167" xfId="0" applyAlignment="1" applyFont="1" applyNumberFormat="1">
      <alignment horizontal="center" readingOrder="0" shrinkToFit="0" vertical="center" wrapText="0"/>
    </xf>
    <xf borderId="0" fillId="4" fontId="2" numFmtId="167" xfId="0" applyAlignment="1" applyFont="1" applyNumberFormat="1">
      <alignment horizontal="center" shrinkToFit="0" vertical="center" wrapText="0"/>
    </xf>
    <xf borderId="0" fillId="4" fontId="8" numFmtId="167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right" readingOrder="0" shrinkToFit="0" vertical="center" wrapText="0"/>
    </xf>
    <xf borderId="0" fillId="0" fontId="18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2" numFmtId="167" xfId="0" applyAlignment="1" applyFont="1" applyNumberFormat="1">
      <alignment horizontal="center" readingOrder="0" shrinkToFit="0" vertical="center" wrapText="0"/>
    </xf>
    <xf borderId="0" fillId="0" fontId="18" numFmtId="0" xfId="0" applyAlignment="1" applyFont="1">
      <alignment horizontal="right" readingOrder="0" shrinkToFit="0" vertical="center" wrapText="0"/>
    </xf>
    <xf borderId="0" fillId="4" fontId="19" numFmtId="167" xfId="0" applyAlignment="1" applyFont="1" applyNumberFormat="1">
      <alignment horizontal="right" shrinkToFit="0" vertical="center" wrapText="0"/>
    </xf>
    <xf borderId="0" fillId="0" fontId="15" numFmtId="167" xfId="0" applyAlignment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20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left" readingOrder="0" shrinkToFit="0" wrapText="1"/>
    </xf>
    <xf borderId="0" fillId="5" fontId="20" numFmtId="0" xfId="0" applyAlignment="1" applyFill="1" applyFont="1">
      <alignment horizontal="right" readingOrder="0" shrinkToFit="0" vertical="center" wrapText="1"/>
    </xf>
    <xf borderId="0" fillId="5" fontId="22" numFmtId="168" xfId="0" applyAlignment="1" applyFont="1" applyNumberFormat="1">
      <alignment horizontal="center" readingOrder="0" shrinkToFit="0" vertical="center" wrapText="1"/>
    </xf>
    <xf borderId="0" fillId="5" fontId="23" numFmtId="0" xfId="0" applyAlignment="1" applyFont="1">
      <alignment horizontal="left" shrinkToFit="0" wrapText="1"/>
    </xf>
    <xf borderId="0" fillId="5" fontId="22" numFmtId="168" xfId="0" applyAlignment="1" applyFont="1" applyNumberFormat="1">
      <alignment horizontal="right" readingOrder="0" shrinkToFit="0" vertical="center" wrapText="1"/>
    </xf>
    <xf borderId="0" fillId="0" fontId="24" numFmtId="0" xfId="0" applyAlignment="1" applyFont="1">
      <alignment horizontal="left" readingOrder="0" shrinkToFit="0" wrapText="1"/>
    </xf>
    <xf borderId="0" fillId="6" fontId="8" numFmtId="168" xfId="0" applyAlignment="1" applyFill="1" applyFont="1" applyNumberFormat="1">
      <alignment horizontal="right" readingOrder="0" shrinkToFit="0" vertical="center" wrapText="0"/>
    </xf>
    <xf borderId="0" fillId="6" fontId="25" numFmtId="168" xfId="0" applyAlignment="1" applyFont="1" applyNumberFormat="1">
      <alignment horizontal="center" readingOrder="0" shrinkToFit="0" vertical="center" wrapText="0"/>
    </xf>
    <xf borderId="0" fillId="6" fontId="25" numFmtId="9" xfId="0" applyAlignment="1" applyFont="1" applyNumberFormat="1">
      <alignment horizontal="center" readingOrder="0" shrinkToFit="0" vertical="center" wrapText="0"/>
    </xf>
    <xf borderId="0" fillId="6" fontId="26" numFmtId="168" xfId="0" applyAlignment="1" applyFont="1" applyNumberFormat="1">
      <alignment horizontal="right" shrinkToFit="0" vertical="center" wrapText="0"/>
    </xf>
    <xf borderId="0" fillId="4" fontId="9" numFmtId="0" xfId="0" applyAlignment="1" applyFont="1">
      <alignment horizontal="right" readingOrder="0" shrinkToFit="0" wrapText="1"/>
    </xf>
    <xf borderId="0" fillId="6" fontId="20" numFmtId="0" xfId="0" applyAlignment="1" applyFont="1">
      <alignment horizontal="right" readingOrder="0" shrinkToFit="0" wrapText="1"/>
    </xf>
    <xf borderId="0" fillId="6" fontId="27" numFmtId="167" xfId="0" applyAlignment="1" applyFont="1" applyNumberFormat="1">
      <alignment horizontal="center" readingOrder="0" shrinkToFit="0" wrapText="1"/>
    </xf>
    <xf borderId="0" fillId="6" fontId="27" numFmtId="9" xfId="0" applyAlignment="1" applyFont="1" applyNumberFormat="1">
      <alignment horizontal="center" readingOrder="0" shrinkToFit="0" wrapText="1"/>
    </xf>
    <xf borderId="0" fillId="6" fontId="27" numFmtId="168" xfId="0" applyAlignment="1" applyFont="1" applyNumberFormat="1">
      <alignment horizontal="right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6" fontId="28" numFmtId="168" xfId="0" applyAlignment="1" applyFont="1" applyNumberFormat="1">
      <alignment horizontal="center" readingOrder="0" shrinkToFit="0" wrapText="1"/>
    </xf>
    <xf borderId="0" fillId="6" fontId="23" numFmtId="9" xfId="0" applyAlignment="1" applyFont="1" applyNumberFormat="1">
      <alignment horizontal="center" readingOrder="0" shrinkToFit="0" wrapText="1"/>
    </xf>
    <xf borderId="0" fillId="6" fontId="28" numFmtId="168" xfId="0" applyAlignment="1" applyFont="1" applyNumberFormat="1">
      <alignment horizontal="right" readingOrder="0" shrinkToFit="0" wrapText="1"/>
    </xf>
    <xf borderId="0" fillId="6" fontId="20" numFmtId="0" xfId="0" applyAlignment="1" applyFont="1">
      <alignment horizontal="right" shrinkToFit="0" wrapText="1"/>
    </xf>
    <xf borderId="0" fillId="0" fontId="27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shrinkToFit="0" vertical="center" wrapText="0"/>
    </xf>
    <xf borderId="1" fillId="0" fontId="2" numFmtId="0" xfId="0" applyAlignment="1" applyBorder="1" applyFont="1">
      <alignment horizontal="right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6" fontId="2" numFmtId="167" xfId="0" applyAlignment="1" applyBorder="1" applyFont="1" applyNumberFormat="1">
      <alignment horizontal="right" shrinkToFit="0" vertical="center" wrapText="0"/>
    </xf>
    <xf borderId="4" fillId="0" fontId="2" numFmtId="0" xfId="0" applyAlignment="1" applyBorder="1" applyFont="1">
      <alignment horizontal="right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5" fillId="6" fontId="2" numFmtId="167" xfId="0" applyAlignment="1" applyBorder="1" applyFont="1" applyNumberFormat="1">
      <alignment horizontal="right" readingOrder="0" shrinkToFit="0" vertical="center" wrapText="0"/>
    </xf>
    <xf borderId="5" fillId="6" fontId="2" numFmtId="167" xfId="0" applyAlignment="1" applyBorder="1" applyFont="1" applyNumberFormat="1">
      <alignment horizontal="right" shrinkToFit="0" vertical="center" wrapText="0"/>
    </xf>
    <xf borderId="0" fillId="0" fontId="8" numFmtId="0" xfId="0" applyAlignment="1" applyFont="1">
      <alignment horizontal="center" shrinkToFit="0" wrapText="1"/>
    </xf>
    <xf borderId="6" fillId="0" fontId="8" numFmtId="0" xfId="0" applyAlignment="1" applyBorder="1" applyFont="1">
      <alignment horizontal="right" readingOrder="0" shrinkToFit="0" vertical="center" wrapText="0"/>
    </xf>
    <xf borderId="7" fillId="0" fontId="8" numFmtId="0" xfId="0" applyAlignment="1" applyBorder="1" applyFont="1">
      <alignment horizontal="center" readingOrder="0" shrinkToFit="0" vertical="center" wrapText="0"/>
    </xf>
    <xf borderId="8" fillId="6" fontId="8" numFmtId="167" xfId="0" applyAlignment="1" applyBorder="1" applyFont="1" applyNumberFormat="1">
      <alignment horizontal="right" shrinkToFit="0" vertical="center" wrapText="0"/>
    </xf>
    <xf borderId="0" fillId="0" fontId="29" numFmtId="0" xfId="0" applyAlignment="1" applyFont="1">
      <alignment horizontal="left" shrinkToFit="0" vertical="center" wrapText="1"/>
    </xf>
    <xf borderId="9" fillId="5" fontId="8" numFmtId="0" xfId="0" applyAlignment="1" applyBorder="1" applyFont="1">
      <alignment horizontal="right" readingOrder="0" shrinkToFit="0" vertical="center" wrapText="1"/>
    </xf>
    <xf borderId="10" fillId="5" fontId="8" numFmtId="0" xfId="0" applyAlignment="1" applyBorder="1" applyFont="1">
      <alignment horizontal="center" readingOrder="0" shrinkToFit="0" vertical="center" wrapText="1"/>
    </xf>
    <xf borderId="11" fillId="5" fontId="8" numFmtId="167" xfId="0" applyAlignment="1" applyBorder="1" applyFont="1" applyNumberFormat="1">
      <alignment horizontal="right" readingOrder="0" shrinkToFit="0" vertical="center" wrapText="1"/>
    </xf>
    <xf borderId="0" fillId="0" fontId="30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5" numFmtId="0" xfId="0" applyAlignment="1" applyFont="1">
      <alignment horizontal="left" shrinkToFit="0" vertical="center" wrapText="1"/>
    </xf>
    <xf borderId="0" fillId="0" fontId="31" numFmtId="0" xfId="0" applyAlignment="1" applyFont="1">
      <alignment horizontal="left" shrinkToFit="0" wrapText="1"/>
    </xf>
    <xf borderId="0" fillId="0" fontId="25" numFmtId="0" xfId="0" applyAlignment="1" applyFont="1">
      <alignment horizontal="left" shrinkToFit="0" wrapText="1"/>
    </xf>
    <xf borderId="0" fillId="0" fontId="32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shrinkToFit="0" vertical="center" wrapText="1"/>
    </xf>
    <xf borderId="0" fillId="0" fontId="32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0"/>
    </xf>
    <xf borderId="0" fillId="4" fontId="33" numFmtId="0" xfId="0" applyAlignment="1" applyFont="1">
      <alignment horizontal="left" readingOrder="0" shrinkToFit="0" wrapText="0"/>
    </xf>
    <xf borderId="0" fillId="0" fontId="34" numFmtId="0" xfId="0" applyAlignment="1" applyFont="1">
      <alignment horizontal="left" readingOrder="0" shrinkToFit="0" wrapText="1"/>
    </xf>
    <xf borderId="0" fillId="0" fontId="35" numFmtId="0" xfId="0" applyAlignment="1" applyFont="1">
      <alignment horizontal="center" readingOrder="0" shrinkToFit="0" wrapText="0"/>
    </xf>
    <xf borderId="0" fillId="0" fontId="36" numFmtId="0" xfId="0" applyAlignment="1" applyFont="1">
      <alignment horizontal="left" readingOrder="0" shrinkToFit="0" vertical="center" wrapText="1"/>
    </xf>
    <xf borderId="0" fillId="0" fontId="2" numFmtId="168" xfId="0" applyAlignment="1" applyFont="1" applyNumberFormat="1">
      <alignment horizontal="left" shrinkToFit="0" wrapText="1"/>
    </xf>
    <xf borderId="0" fillId="0" fontId="2" numFmtId="0" xfId="0" applyAlignment="1" applyFont="1">
      <alignment horizontal="left" readingOrder="0" shrinkToFit="0" vertical="bottom" wrapText="0"/>
    </xf>
    <xf borderId="0" fillId="0" fontId="32" numFmtId="168" xfId="0" applyAlignment="1" applyFont="1" applyNumberFormat="1">
      <alignment horizontal="left" shrinkToFit="0" vertical="bottom" wrapText="1"/>
    </xf>
    <xf borderId="0" fillId="0" fontId="32" numFmtId="0" xfId="0" applyAlignment="1" applyFont="1">
      <alignment horizontal="left" shrinkToFit="0" vertical="bottom" wrapText="1"/>
    </xf>
    <xf borderId="0" fillId="4" fontId="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42950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459CA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ravitch@oceansideca.org" TargetMode="External"/><Relationship Id="rId2" Type="http://schemas.openxmlformats.org/officeDocument/2006/relationships/hyperlink" Target="http://marine.voltsafe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41.5"/>
    <col customWidth="1" min="3" max="3" width="9.13"/>
    <col customWidth="1" min="4" max="4" width="18.38"/>
    <col customWidth="1" min="5" max="5" width="14.0"/>
    <col customWidth="1" min="6" max="6" width="11.25"/>
    <col customWidth="1" min="7" max="7" width="26.88"/>
    <col customWidth="1" min="8" max="8" width="4.0"/>
    <col customWidth="1" min="9" max="20" width="8.88"/>
  </cols>
  <sheetData>
    <row r="1" ht="51.0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51.0" customHeight="1">
      <c r="A2" s="3"/>
      <c r="B2" s="4" t="s">
        <v>1</v>
      </c>
      <c r="C2" s="5"/>
      <c r="D2" s="5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5.0" customHeight="1">
      <c r="A3" s="3"/>
      <c r="B3" s="2" t="s">
        <v>2</v>
      </c>
      <c r="C3" s="2"/>
      <c r="D3" s="2"/>
      <c r="E3" s="2"/>
      <c r="F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5.0" customHeight="1">
      <c r="A4" s="3"/>
      <c r="B4" s="2" t="s">
        <v>3</v>
      </c>
      <c r="C4" s="2"/>
      <c r="D4" s="2"/>
      <c r="E4" s="2"/>
      <c r="F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5.0" customHeight="1">
      <c r="A5" s="3"/>
      <c r="B5" s="6" t="s">
        <v>4</v>
      </c>
      <c r="C5" s="6"/>
      <c r="D5" s="6"/>
      <c r="E5" s="6"/>
      <c r="F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15.0" customHeight="1">
      <c r="A6" s="3"/>
      <c r="B6" s="6" t="s">
        <v>5</v>
      </c>
      <c r="C6" s="6"/>
      <c r="D6" s="6"/>
      <c r="E6" s="6"/>
      <c r="F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24.75" customHeight="1">
      <c r="A7" s="3"/>
      <c r="B7" s="7"/>
      <c r="C7" s="8"/>
      <c r="D7" s="8"/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30.0" customHeight="1">
      <c r="A8" s="3"/>
      <c r="B8" s="9" t="s">
        <v>6</v>
      </c>
      <c r="C8" s="10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15.0" customHeight="1">
      <c r="A9" s="3"/>
      <c r="B9" s="11" t="s">
        <v>7</v>
      </c>
      <c r="C9" s="10"/>
      <c r="D9" s="12" t="s">
        <v>8</v>
      </c>
      <c r="E9" s="13"/>
      <c r="F9" s="14"/>
      <c r="G9" s="14" t="s">
        <v>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15.0" customHeight="1">
      <c r="A10" s="3"/>
      <c r="B10" s="15" t="s">
        <v>10</v>
      </c>
      <c r="C10" s="2"/>
      <c r="D10" s="16" t="s">
        <v>11</v>
      </c>
      <c r="E10" s="13"/>
      <c r="F10" s="17"/>
      <c r="G10" s="17">
        <v>45418.0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5.0" customHeight="1">
      <c r="A11" s="3"/>
      <c r="B11" s="15" t="s">
        <v>12</v>
      </c>
      <c r="C11" s="2"/>
      <c r="D11" s="13"/>
      <c r="E11" s="1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5.0" customHeight="1">
      <c r="A12" s="3"/>
      <c r="B12" s="15" t="s">
        <v>13</v>
      </c>
      <c r="C12" s="2"/>
      <c r="D12" s="19" t="s">
        <v>14</v>
      </c>
      <c r="E12" s="16"/>
      <c r="F12" s="20"/>
      <c r="G12" s="21" t="s">
        <v>15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5.0" customHeight="1">
      <c r="A13" s="3"/>
      <c r="B13" s="22" t="s">
        <v>16</v>
      </c>
      <c r="C13" s="2"/>
      <c r="D13" s="16"/>
      <c r="E13" s="13"/>
      <c r="F13" s="13"/>
      <c r="G13" s="21" t="s">
        <v>17</v>
      </c>
      <c r="H13" s="1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5.0" customHeight="1">
      <c r="A14" s="3"/>
      <c r="B14" s="23" t="s">
        <v>18</v>
      </c>
      <c r="C14" s="6"/>
      <c r="D14" s="21"/>
      <c r="E14" s="21"/>
      <c r="F14" s="21"/>
      <c r="G14" s="21" t="s">
        <v>19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5.0" customHeight="1">
      <c r="A15" s="3"/>
      <c r="B15" s="23"/>
      <c r="C15" s="6"/>
      <c r="D15" s="21"/>
      <c r="E15" s="21"/>
      <c r="F15" s="21"/>
      <c r="G15" s="2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36.0" customHeight="1">
      <c r="A16" s="24"/>
      <c r="B16" s="25" t="s">
        <v>20</v>
      </c>
      <c r="C16" s="26" t="s">
        <v>21</v>
      </c>
      <c r="D16" s="26" t="s">
        <v>22</v>
      </c>
      <c r="E16" s="27"/>
      <c r="F16" s="27" t="s">
        <v>23</v>
      </c>
      <c r="G16" s="28" t="s">
        <v>24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20.25" customHeight="1">
      <c r="A17" s="29" t="s">
        <v>25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30">
        <v>1.0</v>
      </c>
      <c r="B18" s="31" t="s">
        <v>26</v>
      </c>
      <c r="C18" s="30">
        <v>491.0</v>
      </c>
      <c r="D18" s="32">
        <v>849.99</v>
      </c>
      <c r="E18" s="33"/>
      <c r="F18" s="34"/>
      <c r="G18" s="35">
        <f>D18*C18</f>
        <v>417345.09</v>
      </c>
      <c r="H18" s="2"/>
      <c r="I18" s="2"/>
      <c r="J18" s="15" t="s">
        <v>27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36"/>
      <c r="B19" s="37" t="s">
        <v>28</v>
      </c>
      <c r="C19" s="36"/>
      <c r="D19" s="38">
        <f>D18*(1-F19)</f>
        <v>679.992</v>
      </c>
      <c r="E19" s="39"/>
      <c r="F19" s="40">
        <v>0.2</v>
      </c>
      <c r="G19" s="41">
        <f>C18*D18-C18*D18*F19</f>
        <v>333876.072</v>
      </c>
      <c r="H19" s="2"/>
      <c r="I19" s="2"/>
      <c r="J19" s="15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36"/>
      <c r="B20" s="37" t="s">
        <v>29</v>
      </c>
      <c r="C20" s="36"/>
      <c r="D20" s="42"/>
      <c r="E20" s="42"/>
      <c r="F20" s="43"/>
      <c r="G20" s="4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36"/>
      <c r="B21" s="37" t="s">
        <v>30</v>
      </c>
      <c r="C21" s="36"/>
      <c r="D21" s="42"/>
      <c r="E21" s="42"/>
      <c r="F21" s="43"/>
      <c r="G21" s="4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36"/>
      <c r="B22" s="37" t="s">
        <v>31</v>
      </c>
      <c r="C22" s="36"/>
      <c r="D22" s="42"/>
      <c r="E22" s="42"/>
      <c r="F22" s="43"/>
      <c r="G22" s="4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36"/>
      <c r="B23" s="37"/>
      <c r="C23" s="36"/>
      <c r="D23" s="42"/>
      <c r="E23" s="42"/>
      <c r="F23" s="43"/>
      <c r="G23" s="4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45">
        <v>2.0</v>
      </c>
      <c r="B24" s="46" t="s">
        <v>32</v>
      </c>
      <c r="C24" s="45">
        <v>1363.0</v>
      </c>
      <c r="D24" s="47">
        <v>749.99</v>
      </c>
      <c r="E24" s="48"/>
      <c r="F24" s="49"/>
      <c r="G24" s="50">
        <f>D24*C24</f>
        <v>1022236.37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45"/>
      <c r="B25" s="46"/>
      <c r="C25" s="45"/>
      <c r="D25" s="51">
        <f>D24*(1-F25)</f>
        <v>599.992</v>
      </c>
      <c r="E25" s="42"/>
      <c r="F25" s="40">
        <v>0.2</v>
      </c>
      <c r="G25" s="41">
        <f>D25*C24</f>
        <v>817789.096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45"/>
      <c r="B26" s="46"/>
      <c r="C26" s="45"/>
      <c r="D26" s="51"/>
      <c r="E26" s="42"/>
      <c r="F26" s="40"/>
      <c r="G26" s="4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45">
        <v>3.0</v>
      </c>
      <c r="B27" s="46" t="s">
        <v>33</v>
      </c>
      <c r="C27" s="45">
        <v>65.0</v>
      </c>
      <c r="D27" s="47">
        <v>999.99</v>
      </c>
      <c r="E27" s="48"/>
      <c r="F27" s="49"/>
      <c r="G27" s="50">
        <f>D27*C27</f>
        <v>64999.35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45"/>
      <c r="B28" s="46"/>
      <c r="C28" s="45"/>
      <c r="D28" s="51">
        <f>D27*(1-F28)</f>
        <v>799.992</v>
      </c>
      <c r="E28" s="42"/>
      <c r="F28" s="40">
        <v>0.2</v>
      </c>
      <c r="G28" s="41">
        <f>D28*C27</f>
        <v>51999.48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45"/>
      <c r="B29" s="46"/>
      <c r="C29" s="45"/>
      <c r="D29" s="51"/>
      <c r="E29" s="42"/>
      <c r="F29" s="40"/>
      <c r="G29" s="4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52">
        <v>4.0</v>
      </c>
      <c r="B30" s="53" t="s">
        <v>34</v>
      </c>
      <c r="C30" s="52">
        <v>491.0</v>
      </c>
      <c r="D30" s="54">
        <v>110.0</v>
      </c>
      <c r="E30" s="55"/>
      <c r="F30" s="56"/>
      <c r="G30" s="57">
        <f>D30*C30</f>
        <v>54010</v>
      </c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</row>
    <row r="31">
      <c r="A31" s="52"/>
      <c r="B31" s="53"/>
      <c r="C31" s="52"/>
      <c r="D31" s="54"/>
      <c r="E31" s="55"/>
      <c r="F31" s="56"/>
      <c r="G31" s="57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</row>
    <row r="32">
      <c r="A32" s="45">
        <v>5.0</v>
      </c>
      <c r="B32" s="59" t="s">
        <v>35</v>
      </c>
      <c r="C32" s="60">
        <v>50.0</v>
      </c>
      <c r="D32" s="61">
        <v>120.0</v>
      </c>
      <c r="E32" s="62"/>
      <c r="F32" s="63"/>
      <c r="G32" s="64">
        <f>C32*D32</f>
        <v>6000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65"/>
      <c r="B33" s="66"/>
      <c r="C33" s="66"/>
      <c r="D33" s="66"/>
      <c r="E33" s="66"/>
      <c r="F33" s="66"/>
      <c r="G33" s="6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52">
        <v>6.0</v>
      </c>
      <c r="B34" s="67" t="s">
        <v>36</v>
      </c>
      <c r="C34" s="68">
        <v>300.0</v>
      </c>
      <c r="D34" s="69">
        <v>79.99</v>
      </c>
      <c r="E34" s="70"/>
      <c r="F34" s="70"/>
      <c r="G34" s="71">
        <f>C34*D34</f>
        <v>23997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9.5" customHeight="1">
      <c r="A35" s="3"/>
      <c r="B35" s="66"/>
      <c r="C35" s="66"/>
      <c r="D35" s="72">
        <f>D34*(1-F35)</f>
        <v>63.992</v>
      </c>
      <c r="E35" s="66"/>
      <c r="F35" s="40">
        <v>0.2</v>
      </c>
      <c r="G35" s="64">
        <f>C34*D35</f>
        <v>19197.6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9.5" customHeight="1">
      <c r="A36" s="3"/>
      <c r="B36" s="66"/>
      <c r="C36" s="66"/>
      <c r="D36" s="66"/>
      <c r="E36" s="66"/>
      <c r="F36" s="66"/>
      <c r="G36" s="6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9.5" customHeight="1">
      <c r="A37" s="3"/>
      <c r="B37" s="66" t="s">
        <v>37</v>
      </c>
      <c r="G37" s="64">
        <f>SUM(G19,G30,G32,G35,G25,G28)</f>
        <v>1282872.248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21.75" customHeight="1">
      <c r="A38" s="29" t="s">
        <v>38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52">
        <v>7.0</v>
      </c>
      <c r="B39" s="73" t="s">
        <v>39</v>
      </c>
      <c r="C39" s="13"/>
      <c r="D39" s="13"/>
      <c r="E39" s="74" t="s">
        <v>40</v>
      </c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13"/>
      <c r="B40" s="75" t="s">
        <v>41</v>
      </c>
      <c r="C40" s="13"/>
      <c r="D40" s="76" t="s">
        <v>42</v>
      </c>
      <c r="E40" s="77">
        <v>0.0</v>
      </c>
      <c r="F40" s="78"/>
      <c r="G40" s="79" t="s">
        <v>43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>
      <c r="A41" s="13"/>
      <c r="B41" s="80" t="s">
        <v>44</v>
      </c>
      <c r="C41" s="13"/>
      <c r="D41" s="81" t="s">
        <v>45</v>
      </c>
      <c r="E41" s="82">
        <v>6.0</v>
      </c>
      <c r="F41" s="83"/>
      <c r="G41" s="84">
        <f>E41*(C24+C27)</f>
        <v>8568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>
      <c r="A42" s="13"/>
      <c r="B42" s="75" t="s">
        <v>46</v>
      </c>
      <c r="C42" s="85"/>
      <c r="D42" s="86"/>
      <c r="E42" s="87">
        <f>E41*(1-F42)</f>
        <v>5.1</v>
      </c>
      <c r="F42" s="88">
        <v>0.15</v>
      </c>
      <c r="G42" s="89">
        <f>(C24+C27)*E42</f>
        <v>7282.8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>
      <c r="A43" s="13"/>
      <c r="B43" s="90" t="s">
        <v>47</v>
      </c>
      <c r="C43" s="85"/>
      <c r="D43" s="86" t="s">
        <v>48</v>
      </c>
      <c r="E43" s="91">
        <f>E41*(1-F44)</f>
        <v>5.4</v>
      </c>
      <c r="F43" s="92"/>
      <c r="G43" s="93">
        <f>(C24+C27)*E43*12</f>
        <v>92534.4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>
      <c r="A44" s="13"/>
      <c r="B44" s="75" t="s">
        <v>49</v>
      </c>
      <c r="C44" s="13"/>
      <c r="D44" s="94"/>
      <c r="E44" s="87">
        <f>E42*(1-F44)</f>
        <v>4.59</v>
      </c>
      <c r="F44" s="88">
        <v>0.1</v>
      </c>
      <c r="G44" s="89">
        <f>G42*12*(1-F44)</f>
        <v>78654.24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>
      <c r="A45" s="13"/>
      <c r="B45" s="90" t="s">
        <v>50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>
      <c r="A46" s="13"/>
      <c r="B46" s="75" t="s">
        <v>51</v>
      </c>
      <c r="C46" s="95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>
      <c r="A47" s="13"/>
      <c r="B47" s="90" t="s">
        <v>52</v>
      </c>
      <c r="C47" s="95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ht="19.5" customHeight="1">
      <c r="A48" s="3"/>
      <c r="B48" s="13"/>
      <c r="C48" s="96"/>
      <c r="D48" s="96"/>
      <c r="E48" s="97" t="s">
        <v>53</v>
      </c>
      <c r="F48" s="98" t="s">
        <v>54</v>
      </c>
      <c r="G48" s="99">
        <f>SUM(G37)</f>
        <v>1282872.248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9.5" customHeight="1">
      <c r="A49" s="3"/>
      <c r="B49" s="13"/>
      <c r="C49" s="96"/>
      <c r="D49" s="96"/>
      <c r="E49" s="100" t="s">
        <v>55</v>
      </c>
      <c r="F49" s="101" t="s">
        <v>56</v>
      </c>
      <c r="G49" s="102" t="s">
        <v>50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9.5" customHeight="1">
      <c r="A50" s="3"/>
      <c r="B50" s="13"/>
      <c r="C50" s="96"/>
      <c r="D50" s="96"/>
      <c r="E50" s="100" t="s">
        <v>57</v>
      </c>
      <c r="F50" s="101" t="s">
        <v>50</v>
      </c>
      <c r="G50" s="103">
        <v>0.0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9.5" customHeight="1">
      <c r="A51" s="104"/>
      <c r="B51" s="13"/>
      <c r="C51" s="66"/>
      <c r="D51" s="66"/>
      <c r="E51" s="105" t="s">
        <v>58</v>
      </c>
      <c r="F51" s="106" t="s">
        <v>54</v>
      </c>
      <c r="G51" s="107">
        <f>sum(G48:G50)</f>
        <v>1282872.248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30.0" customHeight="1">
      <c r="A52" s="3"/>
      <c r="B52" s="108"/>
      <c r="C52" s="108"/>
      <c r="D52" s="108"/>
      <c r="E52" s="109" t="s">
        <v>59</v>
      </c>
      <c r="F52" s="110" t="s">
        <v>54</v>
      </c>
      <c r="G52" s="111">
        <f>G51*10%</f>
        <v>128287.2248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30.0" customHeight="1">
      <c r="A53" s="3"/>
      <c r="B53" s="112" t="s">
        <v>60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113" t="s">
        <v>61</v>
      </c>
      <c r="B54" s="114" t="s">
        <v>62</v>
      </c>
      <c r="C54" s="115"/>
      <c r="D54" s="115"/>
      <c r="E54" s="115"/>
      <c r="F54" s="115"/>
      <c r="G54" s="115"/>
      <c r="H54" s="116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</row>
    <row r="55">
      <c r="A55" s="113" t="s">
        <v>63</v>
      </c>
      <c r="B55" s="114" t="s">
        <v>64</v>
      </c>
      <c r="C55" s="115"/>
      <c r="D55" s="115"/>
      <c r="E55" s="115"/>
      <c r="F55" s="115"/>
      <c r="G55" s="115"/>
      <c r="H55" s="116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</row>
    <row r="56">
      <c r="A56" s="52" t="s">
        <v>65</v>
      </c>
      <c r="B56" s="114" t="s">
        <v>66</v>
      </c>
      <c r="C56" s="58"/>
      <c r="D56" s="58"/>
      <c r="E56" s="58"/>
      <c r="F56" s="58"/>
      <c r="G56" s="58"/>
      <c r="H56" s="11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52" t="s">
        <v>67</v>
      </c>
      <c r="B57" s="119" t="s">
        <v>68</v>
      </c>
      <c r="C57" s="120"/>
      <c r="D57" s="120"/>
      <c r="E57" s="58"/>
      <c r="F57" s="58"/>
      <c r="G57" s="58"/>
      <c r="H57" s="118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52" t="s">
        <v>69</v>
      </c>
      <c r="B58" s="119" t="s">
        <v>70</v>
      </c>
      <c r="C58" s="120"/>
      <c r="D58" s="120"/>
      <c r="E58" s="58"/>
      <c r="F58" s="58"/>
      <c r="G58" s="58"/>
      <c r="H58" s="11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121" t="s">
        <v>71</v>
      </c>
      <c r="B59" s="119" t="s">
        <v>72</v>
      </c>
      <c r="C59" s="120"/>
      <c r="D59" s="120"/>
      <c r="E59" s="58"/>
      <c r="F59" s="58"/>
      <c r="G59" s="58"/>
      <c r="H59" s="118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52" t="s">
        <v>73</v>
      </c>
      <c r="B60" s="119" t="s">
        <v>74</v>
      </c>
      <c r="C60" s="122"/>
      <c r="D60" s="122"/>
      <c r="E60" s="2"/>
      <c r="F60" s="2"/>
      <c r="G60" s="2"/>
      <c r="H60" s="118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52" t="s">
        <v>75</v>
      </c>
      <c r="B61" s="15" t="s">
        <v>76</v>
      </c>
      <c r="H61" s="118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9.75" customHeight="1">
      <c r="A62" s="123"/>
      <c r="B62" s="124"/>
      <c r="C62" s="124"/>
      <c r="D62" s="124"/>
      <c r="E62" s="124"/>
      <c r="F62" s="124"/>
      <c r="G62" s="124"/>
      <c r="H62" s="11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123"/>
      <c r="B63" s="15" t="s">
        <v>77</v>
      </c>
      <c r="C63" s="124"/>
      <c r="D63" s="124"/>
      <c r="E63" s="124"/>
      <c r="F63" s="124"/>
      <c r="G63" s="124"/>
      <c r="H63" s="118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123"/>
      <c r="B64" s="125" t="s">
        <v>78</v>
      </c>
      <c r="C64" s="124"/>
      <c r="D64" s="124"/>
      <c r="E64" s="124"/>
      <c r="F64" s="124"/>
      <c r="G64" s="124"/>
      <c r="H64" s="118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123"/>
      <c r="B65" s="15" t="s">
        <v>79</v>
      </c>
      <c r="C65" s="124"/>
      <c r="D65" s="124"/>
      <c r="E65" s="124"/>
      <c r="F65" s="124"/>
      <c r="G65" s="124"/>
      <c r="H65" s="118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123"/>
      <c r="B66" s="15" t="s">
        <v>80</v>
      </c>
      <c r="C66" s="124"/>
      <c r="D66" s="124"/>
      <c r="E66" s="124"/>
      <c r="F66" s="124"/>
      <c r="G66" s="124"/>
      <c r="H66" s="118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123"/>
      <c r="B67" s="126" t="s">
        <v>81</v>
      </c>
      <c r="C67" s="124"/>
      <c r="D67" s="124"/>
      <c r="E67" s="124"/>
      <c r="F67" s="124"/>
      <c r="G67" s="124"/>
      <c r="H67" s="118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123"/>
      <c r="B68" s="15" t="s">
        <v>82</v>
      </c>
      <c r="C68" s="124"/>
      <c r="D68" s="124"/>
      <c r="E68" s="124"/>
      <c r="F68" s="124"/>
      <c r="G68" s="124"/>
      <c r="H68" s="118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123"/>
      <c r="B69" s="124"/>
      <c r="C69" s="124"/>
      <c r="D69" s="124"/>
      <c r="E69" s="124"/>
      <c r="F69" s="124"/>
      <c r="G69" s="124"/>
      <c r="H69" s="118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30.0" customHeight="1">
      <c r="A70" s="3"/>
      <c r="B70" s="127" t="s">
        <v>83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3"/>
      <c r="B71" s="15"/>
      <c r="C71" s="2"/>
      <c r="D71" s="128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28.5" customHeight="1">
      <c r="A72" s="3"/>
      <c r="B72" s="129" t="s">
        <v>84</v>
      </c>
      <c r="C72" s="2"/>
      <c r="D72" s="12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3"/>
      <c r="B73" s="15" t="s">
        <v>85</v>
      </c>
      <c r="C73" s="130">
        <f>2*D25+D19</f>
        <v>1879.976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3"/>
      <c r="B74" s="131" t="s">
        <v>86</v>
      </c>
      <c r="C74" s="132">
        <f>2*D28+D19</f>
        <v>2279.976</v>
      </c>
      <c r="D74" s="133"/>
      <c r="E74" s="133"/>
      <c r="F74" s="133"/>
      <c r="G74" s="133"/>
      <c r="H74" s="118"/>
      <c r="I74" s="118"/>
      <c r="J74" s="118"/>
      <c r="K74" s="118"/>
      <c r="L74" s="118"/>
      <c r="M74" s="2"/>
      <c r="N74" s="2"/>
      <c r="O74" s="2"/>
      <c r="P74" s="2"/>
      <c r="Q74" s="2"/>
      <c r="R74" s="2"/>
      <c r="S74" s="2"/>
      <c r="T74" s="2"/>
    </row>
    <row r="75">
      <c r="A75" s="3"/>
      <c r="B75" s="134" t="s">
        <v>87</v>
      </c>
      <c r="C75" s="132">
        <f>D25+D28+D19</f>
        <v>2079.976</v>
      </c>
      <c r="D75" s="133"/>
      <c r="E75" s="133"/>
      <c r="F75" s="133"/>
      <c r="G75" s="133"/>
      <c r="H75" s="118"/>
      <c r="I75" s="118"/>
      <c r="J75" s="118"/>
      <c r="K75" s="118"/>
      <c r="L75" s="118"/>
      <c r="M75" s="2"/>
      <c r="N75" s="2"/>
      <c r="O75" s="2"/>
      <c r="P75" s="2"/>
      <c r="Q75" s="2"/>
      <c r="R75" s="2"/>
      <c r="S75" s="2"/>
      <c r="T75" s="2"/>
    </row>
    <row r="76">
      <c r="A76" s="3"/>
      <c r="B76" s="1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30.0" customHeight="1">
      <c r="A77" s="3"/>
      <c r="B77" s="129" t="s">
        <v>88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3"/>
      <c r="B78" s="15" t="s">
        <v>89</v>
      </c>
      <c r="C78" s="130">
        <f>4*D25+D19</f>
        <v>3079.96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3"/>
      <c r="B79" s="15" t="s">
        <v>90</v>
      </c>
      <c r="C79" s="130">
        <f>4*D28+D19</f>
        <v>3879.96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3"/>
      <c r="B80" s="15" t="s">
        <v>91</v>
      </c>
      <c r="C80" s="130">
        <f>2*D25+2*D28+D19</f>
        <v>3479.96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30.0" customHeight="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30.0" customHeight="1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30.0" customHeight="1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30.0" customHeight="1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30.0" customHeight="1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30.0" customHeight="1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30.0" customHeight="1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30.0" customHeight="1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30.0" customHeight="1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30.0" customHeight="1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30.0" customHeight="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30.0" customHeight="1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30.0" customHeight="1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30.0" customHeight="1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30.0" customHeight="1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30.0" customHeight="1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30.0" customHeight="1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30.0" customHeight="1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30.0" customHeight="1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30.0" customHeight="1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30.0" customHeight="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30.0" customHeight="1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30.0" customHeight="1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30.0" customHeight="1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30.0" customHeight="1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30.0" customHeight="1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ht="30.0" customHeight="1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30.0" customHeight="1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ht="30.0" customHeight="1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ht="30.0" customHeight="1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ht="30.0" customHeight="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ht="30.0" customHeight="1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ht="30.0" customHeight="1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ht="30.0" customHeight="1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ht="30.0" customHeight="1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ht="30.0" customHeight="1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ht="30.0" customHeight="1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ht="30.0" customHeight="1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ht="30.0" customHeight="1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ht="30.0" customHeight="1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ht="30.0" customHeight="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ht="30.0" customHeight="1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ht="30.0" customHeight="1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30.0" customHeight="1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30.0" customHeight="1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30.0" customHeight="1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30.0" customHeight="1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30.0" customHeight="1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30.0" customHeight="1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30.0" customHeight="1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30.0" customHeight="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30.0" customHeight="1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30.0" customHeight="1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30.0" customHeight="1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30.0" customHeight="1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30.0" customHeight="1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30.0" customHeight="1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30.0" customHeight="1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30.0" customHeight="1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30.0" customHeight="1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30.0" customHeight="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30.0" customHeight="1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30.0" customHeight="1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30.0" customHeight="1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30.0" customHeight="1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30.0" customHeight="1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30.0" customHeight="1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30.0" customHeight="1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30.0" customHeight="1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30.0" customHeight="1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30.0" customHeight="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30.0" customHeight="1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30.0" customHeight="1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30.0" customHeight="1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30.0" customHeight="1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t="30.0" customHeight="1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t="30.0" customHeight="1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t="30.0" customHeight="1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t="30.0" customHeight="1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t="30.0" customHeight="1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t="30.0" customHeight="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t="30.0" customHeight="1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ht="30.0" customHeight="1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ht="30.0" customHeight="1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ht="30.0" customHeight="1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ht="30.0" customHeight="1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ht="30.0" customHeight="1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ht="30.0" customHeight="1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ht="30.0" customHeight="1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ht="30.0" customHeight="1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ht="30.0" customHeight="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ht="30.0" customHeight="1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ht="30.0" customHeight="1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ht="30.0" customHeight="1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ht="30.0" customHeight="1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ht="30.0" customHeight="1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ht="30.0" customHeight="1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ht="30.0" customHeight="1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ht="30.0" customHeight="1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ht="30.0" customHeight="1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ht="30.0" customHeight="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ht="30.0" customHeight="1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ht="30.0" customHeight="1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ht="30.0" customHeight="1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ht="30.0" customHeight="1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ht="30.0" customHeight="1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ht="30.0" customHeight="1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ht="30.0" customHeight="1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ht="30.0" customHeight="1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ht="30.0" customHeight="1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ht="30.0" customHeight="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ht="30.0" customHeight="1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ht="30.0" customHeight="1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ht="30.0" customHeight="1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ht="30.0" customHeight="1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ht="30.0" customHeight="1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ht="30.0" customHeight="1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ht="30.0" customHeight="1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ht="30.0" customHeight="1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ht="30.0" customHeight="1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ht="30.0" customHeight="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ht="30.0" customHeight="1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ht="30.0" customHeight="1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ht="30.0" customHeight="1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ht="30.0" customHeight="1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ht="30.0" customHeight="1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ht="30.0" customHeight="1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ht="30.0" customHeight="1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ht="30.0" customHeight="1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ht="30.0" customHeight="1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ht="30.0" customHeight="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ht="30.0" customHeight="1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ht="30.0" customHeight="1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ht="30.0" customHeight="1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ht="30.0" customHeight="1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ht="30.0" customHeight="1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ht="30.0" customHeight="1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ht="30.0" customHeight="1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ht="30.0" customHeight="1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ht="30.0" customHeight="1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ht="30.0" customHeight="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ht="30.0" customHeight="1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ht="30.0" customHeight="1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ht="30.0" customHeight="1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ht="30.0" customHeight="1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ht="30.0" customHeight="1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ht="30.0" customHeight="1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ht="30.0" customHeight="1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ht="30.0" customHeight="1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ht="30.0" customHeight="1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ht="30.0" customHeight="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ht="30.0" customHeight="1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ht="30.0" customHeight="1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ht="30.0" customHeight="1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ht="30.0" customHeight="1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ht="30.0" customHeight="1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ht="30.0" customHeight="1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ht="30.0" customHeight="1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ht="30.0" customHeight="1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ht="30.0" customHeight="1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ht="30.0" customHeight="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ht="30.0" customHeight="1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ht="30.0" customHeight="1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ht="30.0" customHeight="1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ht="30.0" customHeight="1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ht="30.0" customHeight="1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ht="30.0" customHeight="1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ht="30.0" customHeight="1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ht="30.0" customHeight="1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ht="30.0" customHeight="1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ht="30.0" customHeight="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ht="30.0" customHeight="1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ht="30.0" customHeight="1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ht="30.0" customHeight="1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ht="30.0" customHeight="1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ht="30.0" customHeight="1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ht="30.0" customHeight="1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ht="30.0" customHeight="1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ht="30.0" customHeight="1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ht="30.0" customHeight="1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ht="30.0" customHeight="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ht="30.0" customHeight="1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ht="30.0" customHeight="1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ht="30.0" customHeight="1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ht="30.0" customHeight="1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ht="30.0" customHeight="1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ht="30.0" customHeight="1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ht="30.0" customHeight="1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ht="30.0" customHeight="1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ht="30.0" customHeight="1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ht="30.0" customHeight="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ht="30.0" customHeight="1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ht="30.0" customHeight="1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ht="30.0" customHeight="1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ht="30.0" customHeight="1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ht="30.0" customHeight="1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ht="30.0" customHeight="1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ht="30.0" customHeight="1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ht="30.0" customHeight="1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ht="30.0" customHeight="1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ht="30.0" customHeight="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ht="30.0" customHeight="1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ht="30.0" customHeight="1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ht="30.0" customHeight="1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ht="30.0" customHeight="1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ht="30.0" customHeight="1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ht="30.0" customHeight="1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ht="30.0" customHeight="1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ht="30.0" customHeight="1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ht="30.0" customHeight="1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ht="30.0" customHeight="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ht="30.0" customHeight="1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ht="30.0" customHeight="1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ht="30.0" customHeight="1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ht="30.0" customHeight="1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ht="30.0" customHeight="1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ht="30.0" customHeight="1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ht="30.0" customHeight="1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ht="30.0" customHeight="1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ht="30.0" customHeight="1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ht="30.0" customHeight="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ht="30.0" customHeight="1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ht="30.0" customHeight="1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ht="30.0" customHeight="1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ht="30.0" customHeight="1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ht="30.0" customHeight="1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ht="30.0" customHeight="1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ht="30.0" customHeight="1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ht="30.0" customHeight="1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ht="30.0" customHeight="1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ht="30.0" customHeight="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ht="30.0" customHeight="1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ht="30.0" customHeight="1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ht="30.0" customHeight="1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ht="30.0" customHeight="1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ht="30.0" customHeight="1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ht="30.0" customHeight="1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ht="30.0" customHeight="1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ht="30.0" customHeight="1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ht="30.0" customHeight="1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ht="30.0" customHeight="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ht="30.0" customHeight="1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ht="30.0" customHeight="1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ht="30.0" customHeight="1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ht="30.0" customHeight="1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ht="30.0" customHeight="1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ht="30.0" customHeight="1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ht="30.0" customHeight="1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ht="30.0" customHeight="1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ht="30.0" customHeight="1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ht="30.0" customHeight="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ht="30.0" customHeight="1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ht="30.0" customHeight="1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ht="30.0" customHeight="1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ht="30.0" customHeight="1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ht="30.0" customHeight="1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ht="30.0" customHeight="1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ht="30.0" customHeight="1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ht="30.0" customHeight="1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ht="30.0" customHeight="1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ht="30.0" customHeight="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ht="30.0" customHeight="1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ht="30.0" customHeight="1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ht="30.0" customHeight="1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ht="30.0" customHeight="1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ht="30.0" customHeight="1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ht="30.0" customHeight="1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ht="30.0" customHeight="1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ht="30.0" customHeight="1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ht="30.0" customHeight="1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ht="30.0" customHeight="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ht="30.0" customHeight="1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ht="30.0" customHeight="1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ht="30.0" customHeight="1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ht="30.0" customHeight="1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ht="30.0" customHeight="1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ht="30.0" customHeight="1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ht="30.0" customHeight="1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ht="30.0" customHeight="1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ht="30.0" customHeight="1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ht="30.0" customHeight="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ht="30.0" customHeight="1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ht="30.0" customHeight="1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ht="30.0" customHeight="1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ht="30.0" customHeight="1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ht="30.0" customHeight="1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ht="30.0" customHeight="1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ht="30.0" customHeight="1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ht="30.0" customHeight="1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ht="30.0" customHeight="1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ht="30.0" customHeight="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ht="30.0" customHeight="1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ht="30.0" customHeight="1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ht="30.0" customHeight="1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ht="30.0" customHeight="1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ht="30.0" customHeight="1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ht="30.0" customHeight="1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ht="30.0" customHeight="1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ht="30.0" customHeight="1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ht="30.0" customHeight="1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ht="30.0" customHeight="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ht="30.0" customHeight="1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ht="30.0" customHeight="1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ht="30.0" customHeight="1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ht="30.0" customHeight="1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ht="30.0" customHeight="1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ht="30.0" customHeight="1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ht="30.0" customHeight="1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ht="30.0" customHeight="1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ht="30.0" customHeight="1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ht="30.0" customHeight="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ht="30.0" customHeight="1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ht="30.0" customHeight="1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ht="30.0" customHeight="1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ht="30.0" customHeight="1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ht="30.0" customHeight="1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ht="30.0" customHeight="1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ht="30.0" customHeight="1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ht="30.0" customHeight="1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ht="30.0" customHeight="1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ht="30.0" customHeight="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ht="30.0" customHeight="1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ht="30.0" customHeight="1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ht="30.0" customHeight="1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ht="30.0" customHeight="1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ht="30.0" customHeight="1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ht="30.0" customHeight="1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ht="30.0" customHeight="1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ht="30.0" customHeight="1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ht="30.0" customHeight="1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ht="30.0" customHeight="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ht="30.0" customHeight="1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ht="30.0" customHeight="1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ht="30.0" customHeight="1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ht="30.0" customHeight="1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ht="30.0" customHeight="1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ht="30.0" customHeight="1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ht="30.0" customHeight="1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ht="30.0" customHeight="1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ht="30.0" customHeight="1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ht="30.0" customHeight="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ht="30.0" customHeight="1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ht="30.0" customHeight="1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ht="30.0" customHeight="1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ht="30.0" customHeight="1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ht="30.0" customHeight="1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ht="30.0" customHeight="1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ht="30.0" customHeight="1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ht="30.0" customHeight="1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ht="30.0" customHeight="1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ht="30.0" customHeight="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ht="30.0" customHeight="1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ht="30.0" customHeight="1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ht="30.0" customHeight="1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ht="30.0" customHeight="1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ht="30.0" customHeight="1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ht="30.0" customHeight="1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ht="30.0" customHeight="1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ht="30.0" customHeight="1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ht="30.0" customHeight="1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ht="30.0" customHeight="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ht="30.0" customHeight="1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ht="30.0" customHeight="1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ht="30.0" customHeight="1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ht="30.0" customHeight="1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ht="30.0" customHeight="1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ht="30.0" customHeight="1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ht="30.0" customHeight="1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ht="30.0" customHeight="1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ht="30.0" customHeight="1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ht="30.0" customHeight="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ht="30.0" customHeight="1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ht="30.0" customHeight="1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ht="30.0" customHeight="1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ht="30.0" customHeight="1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ht="30.0" customHeight="1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ht="30.0" customHeight="1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ht="30.0" customHeight="1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ht="30.0" customHeight="1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ht="30.0" customHeight="1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ht="30.0" customHeight="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ht="30.0" customHeight="1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ht="30.0" customHeight="1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ht="30.0" customHeight="1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ht="30.0" customHeight="1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ht="30.0" customHeight="1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ht="30.0" customHeight="1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ht="30.0" customHeight="1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ht="30.0" customHeight="1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ht="30.0" customHeight="1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ht="30.0" customHeight="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ht="30.0" customHeight="1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ht="30.0" customHeight="1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ht="30.0" customHeight="1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ht="30.0" customHeight="1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ht="30.0" customHeight="1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ht="30.0" customHeight="1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ht="30.0" customHeight="1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ht="30.0" customHeight="1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ht="30.0" customHeight="1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ht="30.0" customHeight="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ht="30.0" customHeight="1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ht="30.0" customHeight="1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ht="30.0" customHeight="1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ht="30.0" customHeight="1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ht="30.0" customHeight="1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ht="30.0" customHeight="1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ht="30.0" customHeight="1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ht="30.0" customHeight="1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ht="30.0" customHeight="1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ht="30.0" customHeight="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ht="30.0" customHeight="1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ht="30.0" customHeight="1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ht="30.0" customHeight="1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ht="30.0" customHeight="1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ht="30.0" customHeight="1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ht="30.0" customHeight="1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ht="30.0" customHeight="1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ht="30.0" customHeight="1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ht="30.0" customHeight="1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ht="30.0" customHeight="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ht="30.0" customHeight="1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ht="30.0" customHeight="1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ht="30.0" customHeight="1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ht="30.0" customHeight="1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ht="30.0" customHeight="1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ht="30.0" customHeight="1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ht="30.0" customHeight="1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ht="30.0" customHeight="1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ht="30.0" customHeight="1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ht="30.0" customHeight="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ht="30.0" customHeight="1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ht="30.0" customHeight="1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ht="30.0" customHeight="1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ht="30.0" customHeight="1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ht="30.0" customHeight="1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ht="30.0" customHeight="1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ht="30.0" customHeight="1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ht="30.0" customHeight="1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ht="30.0" customHeight="1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ht="30.0" customHeight="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ht="30.0" customHeight="1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ht="30.0" customHeight="1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ht="30.0" customHeight="1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ht="30.0" customHeight="1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ht="30.0" customHeight="1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ht="30.0" customHeight="1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ht="30.0" customHeight="1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ht="30.0" customHeight="1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ht="30.0" customHeight="1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ht="30.0" customHeight="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ht="30.0" customHeight="1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ht="30.0" customHeight="1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ht="30.0" customHeight="1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ht="30.0" customHeight="1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ht="30.0" customHeight="1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ht="30.0" customHeight="1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ht="30.0" customHeight="1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ht="30.0" customHeight="1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ht="30.0" customHeight="1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ht="30.0" customHeight="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ht="30.0" customHeight="1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ht="30.0" customHeight="1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ht="30.0" customHeight="1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ht="30.0" customHeight="1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ht="30.0" customHeight="1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ht="30.0" customHeight="1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ht="30.0" customHeight="1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ht="30.0" customHeight="1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ht="30.0" customHeight="1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ht="30.0" customHeight="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ht="30.0" customHeight="1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ht="30.0" customHeight="1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ht="30.0" customHeight="1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ht="30.0" customHeight="1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ht="30.0" customHeight="1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ht="30.0" customHeight="1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ht="30.0" customHeight="1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ht="30.0" customHeight="1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ht="30.0" customHeight="1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ht="30.0" customHeight="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ht="30.0" customHeight="1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ht="30.0" customHeight="1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ht="30.0" customHeight="1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ht="30.0" customHeight="1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ht="30.0" customHeight="1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ht="30.0" customHeight="1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ht="30.0" customHeight="1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ht="30.0" customHeight="1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ht="30.0" customHeight="1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ht="30.0" customHeight="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ht="30.0" customHeight="1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ht="30.0" customHeight="1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ht="30.0" customHeight="1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ht="30.0" customHeight="1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ht="30.0" customHeight="1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ht="30.0" customHeight="1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ht="30.0" customHeight="1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ht="30.0" customHeight="1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ht="30.0" customHeight="1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ht="30.0" customHeight="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ht="30.0" customHeight="1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ht="30.0" customHeight="1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ht="30.0" customHeight="1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ht="30.0" customHeight="1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ht="30.0" customHeight="1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ht="30.0" customHeight="1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ht="30.0" customHeight="1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ht="30.0" customHeight="1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ht="30.0" customHeight="1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ht="30.0" customHeight="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ht="30.0" customHeight="1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ht="30.0" customHeight="1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ht="30.0" customHeight="1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ht="30.0" customHeight="1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ht="30.0" customHeight="1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ht="30.0" customHeight="1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ht="30.0" customHeight="1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ht="30.0" customHeight="1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ht="30.0" customHeight="1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ht="30.0" customHeight="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ht="30.0" customHeight="1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ht="30.0" customHeight="1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ht="30.0" customHeight="1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ht="30.0" customHeight="1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ht="30.0" customHeight="1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ht="30.0" customHeight="1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ht="30.0" customHeight="1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ht="30.0" customHeight="1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ht="30.0" customHeight="1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ht="30.0" customHeight="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ht="30.0" customHeight="1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ht="30.0" customHeight="1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ht="30.0" customHeight="1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ht="30.0" customHeight="1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ht="30.0" customHeight="1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ht="30.0" customHeight="1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ht="30.0" customHeight="1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ht="30.0" customHeight="1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ht="30.0" customHeight="1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ht="30.0" customHeight="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ht="30.0" customHeight="1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ht="30.0" customHeight="1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ht="30.0" customHeight="1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ht="30.0" customHeight="1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ht="30.0" customHeight="1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ht="30.0" customHeight="1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ht="30.0" customHeight="1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ht="30.0" customHeight="1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ht="30.0" customHeight="1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ht="30.0" customHeight="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ht="30.0" customHeight="1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ht="30.0" customHeight="1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ht="30.0" customHeight="1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ht="30.0" customHeight="1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ht="30.0" customHeight="1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ht="30.0" customHeight="1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ht="30.0" customHeight="1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ht="30.0" customHeight="1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ht="30.0" customHeight="1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ht="30.0" customHeight="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ht="30.0" customHeight="1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ht="30.0" customHeight="1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ht="30.0" customHeight="1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ht="30.0" customHeight="1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ht="30.0" customHeight="1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ht="30.0" customHeight="1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ht="30.0" customHeight="1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ht="30.0" customHeight="1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ht="30.0" customHeight="1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ht="30.0" customHeight="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ht="30.0" customHeight="1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ht="30.0" customHeight="1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ht="30.0" customHeight="1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ht="30.0" customHeight="1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ht="30.0" customHeight="1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ht="30.0" customHeight="1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ht="30.0" customHeight="1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ht="30.0" customHeight="1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ht="30.0" customHeight="1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ht="30.0" customHeight="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ht="30.0" customHeight="1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ht="30.0" customHeight="1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ht="30.0" customHeight="1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ht="30.0" customHeight="1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ht="30.0" customHeight="1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ht="30.0" customHeight="1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ht="30.0" customHeight="1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ht="30.0" customHeight="1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ht="30.0" customHeight="1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ht="30.0" customHeight="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ht="30.0" customHeight="1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ht="30.0" customHeight="1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ht="30.0" customHeight="1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ht="30.0" customHeight="1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ht="30.0" customHeight="1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ht="30.0" customHeight="1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ht="30.0" customHeight="1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ht="30.0" customHeight="1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ht="30.0" customHeight="1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ht="30.0" customHeight="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ht="30.0" customHeight="1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ht="30.0" customHeight="1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ht="30.0" customHeight="1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ht="30.0" customHeight="1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ht="30.0" customHeight="1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ht="30.0" customHeight="1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ht="30.0" customHeight="1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ht="30.0" customHeight="1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ht="30.0" customHeight="1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ht="30.0" customHeight="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ht="30.0" customHeight="1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ht="30.0" customHeight="1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ht="30.0" customHeight="1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ht="30.0" customHeight="1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ht="30.0" customHeight="1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ht="30.0" customHeight="1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ht="30.0" customHeight="1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ht="30.0" customHeight="1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ht="30.0" customHeight="1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ht="30.0" customHeight="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ht="30.0" customHeight="1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ht="30.0" customHeight="1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ht="30.0" customHeight="1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ht="30.0" customHeight="1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ht="30.0" customHeight="1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ht="30.0" customHeight="1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ht="30.0" customHeight="1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ht="30.0" customHeight="1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ht="30.0" customHeight="1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ht="30.0" customHeight="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ht="30.0" customHeight="1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ht="30.0" customHeight="1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ht="30.0" customHeight="1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ht="30.0" customHeight="1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ht="30.0" customHeight="1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ht="30.0" customHeight="1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ht="30.0" customHeight="1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ht="30.0" customHeight="1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ht="30.0" customHeight="1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ht="30.0" customHeight="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ht="30.0" customHeight="1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ht="30.0" customHeight="1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ht="30.0" customHeight="1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ht="30.0" customHeight="1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ht="30.0" customHeight="1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ht="30.0" customHeight="1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ht="30.0" customHeight="1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ht="30.0" customHeight="1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ht="30.0" customHeight="1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ht="30.0" customHeight="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ht="30.0" customHeight="1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ht="30.0" customHeight="1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ht="30.0" customHeight="1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ht="30.0" customHeight="1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ht="30.0" customHeight="1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ht="30.0" customHeight="1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ht="30.0" customHeight="1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ht="30.0" customHeight="1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ht="30.0" customHeight="1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ht="30.0" customHeight="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ht="30.0" customHeight="1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ht="30.0" customHeight="1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ht="30.0" customHeight="1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ht="30.0" customHeight="1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ht="30.0" customHeight="1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ht="30.0" customHeight="1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ht="30.0" customHeight="1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ht="30.0" customHeight="1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ht="30.0" customHeight="1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ht="30.0" customHeight="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ht="30.0" customHeight="1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ht="30.0" customHeight="1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ht="30.0" customHeight="1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ht="30.0" customHeight="1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ht="30.0" customHeight="1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ht="30.0" customHeight="1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ht="30.0" customHeight="1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ht="30.0" customHeight="1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ht="30.0" customHeight="1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ht="30.0" customHeight="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ht="30.0" customHeight="1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ht="30.0" customHeight="1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ht="30.0" customHeight="1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ht="30.0" customHeight="1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ht="30.0" customHeight="1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ht="30.0" customHeight="1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ht="30.0" customHeight="1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ht="30.0" customHeight="1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ht="30.0" customHeight="1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ht="30.0" customHeight="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ht="30.0" customHeight="1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ht="30.0" customHeight="1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ht="30.0" customHeight="1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ht="30.0" customHeight="1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ht="30.0" customHeight="1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ht="30.0" customHeight="1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ht="30.0" customHeight="1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ht="30.0" customHeight="1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ht="30.0" customHeight="1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ht="30.0" customHeight="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ht="30.0" customHeight="1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ht="30.0" customHeight="1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ht="30.0" customHeight="1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ht="30.0" customHeight="1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ht="30.0" customHeight="1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ht="30.0" customHeight="1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ht="30.0" customHeight="1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ht="30.0" customHeight="1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ht="30.0" customHeight="1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ht="30.0" customHeight="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ht="30.0" customHeight="1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ht="30.0" customHeight="1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ht="30.0" customHeight="1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ht="30.0" customHeight="1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ht="30.0" customHeight="1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ht="30.0" customHeight="1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ht="30.0" customHeight="1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ht="30.0" customHeight="1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ht="30.0" customHeight="1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ht="30.0" customHeight="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ht="30.0" customHeight="1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ht="30.0" customHeight="1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ht="30.0" customHeight="1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ht="30.0" customHeight="1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ht="30.0" customHeight="1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ht="30.0" customHeight="1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ht="30.0" customHeight="1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ht="30.0" customHeight="1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ht="30.0" customHeight="1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ht="30.0" customHeight="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ht="30.0" customHeight="1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ht="30.0" customHeight="1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ht="30.0" customHeight="1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ht="30.0" customHeight="1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ht="30.0" customHeight="1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ht="30.0" customHeight="1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ht="30.0" customHeight="1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ht="30.0" customHeight="1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ht="30.0" customHeight="1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ht="30.0" customHeight="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ht="30.0" customHeight="1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ht="30.0" customHeight="1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ht="30.0" customHeight="1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ht="30.0" customHeight="1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ht="30.0" customHeight="1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ht="30.0" customHeight="1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ht="30.0" customHeight="1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ht="30.0" customHeight="1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ht="30.0" customHeight="1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ht="30.0" customHeight="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ht="30.0" customHeight="1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ht="30.0" customHeight="1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ht="30.0" customHeight="1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ht="30.0" customHeight="1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ht="30.0" customHeight="1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ht="30.0" customHeight="1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ht="30.0" customHeight="1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ht="30.0" customHeight="1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ht="30.0" customHeight="1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ht="30.0" customHeight="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ht="30.0" customHeight="1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ht="30.0" customHeight="1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ht="30.0" customHeight="1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ht="30.0" customHeight="1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ht="30.0" customHeight="1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ht="30.0" customHeight="1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ht="30.0" customHeight="1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ht="30.0" customHeight="1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ht="30.0" customHeight="1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ht="30.0" customHeight="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ht="30.0" customHeight="1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ht="30.0" customHeight="1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ht="30.0" customHeight="1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ht="30.0" customHeight="1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ht="30.0" customHeight="1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ht="30.0" customHeight="1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ht="30.0" customHeight="1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ht="30.0" customHeight="1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ht="30.0" customHeight="1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ht="30.0" customHeight="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ht="30.0" customHeight="1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ht="30.0" customHeight="1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ht="30.0" customHeight="1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ht="30.0" customHeight="1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ht="30.0" customHeight="1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ht="30.0" customHeight="1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ht="30.0" customHeight="1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ht="30.0" customHeight="1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ht="30.0" customHeight="1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ht="30.0" customHeight="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ht="30.0" customHeight="1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ht="30.0" customHeight="1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ht="30.0" customHeight="1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ht="30.0" customHeight="1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ht="30.0" customHeight="1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ht="30.0" customHeight="1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ht="30.0" customHeight="1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ht="30.0" customHeight="1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ht="30.0" customHeight="1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ht="30.0" customHeight="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ht="30.0" customHeight="1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ht="30.0" customHeight="1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ht="30.0" customHeight="1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ht="30.0" customHeight="1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ht="30.0" customHeight="1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ht="30.0" customHeight="1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ht="30.0" customHeight="1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ht="30.0" customHeight="1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ht="30.0" customHeight="1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ht="30.0" customHeight="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ht="30.0" customHeight="1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ht="30.0" customHeight="1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ht="30.0" customHeight="1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ht="30.0" customHeight="1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ht="30.0" customHeight="1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ht="30.0" customHeight="1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ht="30.0" customHeight="1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ht="30.0" customHeight="1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ht="30.0" customHeight="1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ht="30.0" customHeight="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ht="30.0" customHeight="1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ht="30.0" customHeight="1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ht="30.0" customHeight="1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ht="30.0" customHeight="1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ht="30.0" customHeight="1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ht="30.0" customHeight="1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ht="30.0" customHeight="1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ht="30.0" customHeight="1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ht="30.0" customHeight="1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ht="30.0" customHeight="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ht="30.0" customHeight="1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ht="30.0" customHeight="1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ht="30.0" customHeight="1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ht="30.0" customHeight="1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ht="30.0" customHeight="1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ht="30.0" customHeight="1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ht="30.0" customHeight="1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ht="30.0" customHeight="1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ht="30.0" customHeight="1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ht="30.0" customHeight="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ht="30.0" customHeight="1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ht="30.0" customHeight="1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ht="30.0" customHeight="1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ht="30.0" customHeight="1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ht="30.0" customHeight="1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ht="30.0" customHeight="1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ht="30.0" customHeight="1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ht="30.0" customHeight="1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ht="30.0" customHeight="1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ht="30.0" customHeight="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ht="30.0" customHeight="1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ht="30.0" customHeight="1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ht="30.0" customHeight="1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ht="30.0" customHeight="1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ht="30.0" customHeight="1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ht="30.0" customHeight="1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ht="30.0" customHeight="1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ht="30.0" customHeight="1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ht="30.0" customHeight="1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ht="30.0" customHeight="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ht="30.0" customHeight="1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ht="30.0" customHeight="1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ht="30.0" customHeight="1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ht="30.0" customHeight="1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ht="30.0" customHeight="1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ht="30.0" customHeight="1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ht="30.0" customHeight="1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ht="30.0" customHeight="1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ht="30.0" customHeight="1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ht="30.0" customHeight="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ht="30.0" customHeight="1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ht="30.0" customHeight="1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ht="30.0" customHeight="1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ht="30.0" customHeight="1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ht="30.0" customHeight="1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ht="30.0" customHeight="1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ht="30.0" customHeight="1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ht="30.0" customHeight="1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ht="30.0" customHeight="1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ht="30.0" customHeight="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ht="30.0" customHeight="1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ht="30.0" customHeight="1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ht="30.0" customHeight="1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ht="30.0" customHeight="1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ht="30.0" customHeight="1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ht="30.0" customHeight="1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ht="30.0" customHeight="1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ht="30.0" customHeight="1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ht="30.0" customHeight="1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ht="30.0" customHeight="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ht="30.0" customHeight="1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ht="30.0" customHeight="1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ht="30.0" customHeight="1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ht="30.0" customHeight="1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ht="30.0" customHeight="1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ht="30.0" customHeight="1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ht="30.0" customHeight="1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ht="30.0" customHeight="1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ht="30.0" customHeight="1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ht="30.0" customHeight="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ht="30.0" customHeight="1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ht="30.0" customHeight="1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ht="30.0" customHeight="1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ht="30.0" customHeight="1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ht="30.0" customHeight="1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ht="30.0" customHeight="1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ht="30.0" customHeight="1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ht="30.0" customHeight="1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ht="30.0" customHeight="1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ht="30.0" customHeight="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ht="30.0" customHeight="1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ht="30.0" customHeight="1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ht="30.0" customHeight="1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ht="30.0" customHeight="1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ht="30.0" customHeight="1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ht="30.0" customHeight="1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ht="30.0" customHeight="1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ht="30.0" customHeight="1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ht="30.0" customHeight="1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  <row r="1001" ht="30.0" customHeight="1">
      <c r="A1001" s="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</row>
    <row r="1002" ht="30.0" customHeight="1">
      <c r="A1002" s="3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</row>
    <row r="1003" ht="30.0" customHeight="1">
      <c r="A1003" s="3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</row>
    <row r="1004" ht="30.0" customHeight="1">
      <c r="A1004" s="3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</row>
    <row r="1005" ht="30.0" customHeight="1">
      <c r="A1005" s="3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</row>
    <row r="1006" ht="30.0" customHeight="1">
      <c r="A1006" s="3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</row>
    <row r="1007" ht="30.0" customHeight="1">
      <c r="A1007" s="3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</row>
    <row r="1008" ht="30.0" customHeight="1">
      <c r="A1008" s="3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</row>
    <row r="1009" ht="30.0" customHeight="1">
      <c r="A1009" s="3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</row>
    <row r="1010" ht="30.0" customHeight="1">
      <c r="A1010" s="3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</row>
    <row r="1011" ht="30.0" customHeight="1">
      <c r="A1011" s="3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</row>
    <row r="1012" ht="30.0" customHeight="1">
      <c r="A1012" s="3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</row>
    <row r="1013" ht="30.0" customHeight="1">
      <c r="A1013" s="3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</row>
    <row r="1014" ht="30.0" customHeight="1">
      <c r="A1014" s="3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</row>
    <row r="1015" ht="30.0" customHeight="1">
      <c r="A1015" s="3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</row>
    <row r="1016" ht="30.0" customHeight="1">
      <c r="A1016" s="3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</row>
    <row r="1017" ht="30.0" customHeight="1">
      <c r="A1017" s="3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</row>
    <row r="1018" ht="30.0" customHeight="1">
      <c r="A1018" s="3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</row>
    <row r="1019" ht="30.0" customHeight="1">
      <c r="A1019" s="3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</row>
    <row r="1020" ht="30.0" customHeight="1">
      <c r="A1020" s="3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</row>
    <row r="1021" ht="30.0" customHeight="1">
      <c r="A1021" s="3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</row>
    <row r="1022" ht="30.0" customHeight="1">
      <c r="A1022" s="3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</row>
    <row r="1023" ht="30.0" customHeight="1">
      <c r="A1023" s="3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</row>
    <row r="1024" ht="30.0" customHeight="1">
      <c r="A1024" s="3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</row>
    <row r="1025" ht="30.0" customHeight="1">
      <c r="A1025" s="3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</row>
    <row r="1026" ht="30.0" customHeight="1">
      <c r="A1026" s="3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</row>
    <row r="1027" ht="30.0" customHeight="1">
      <c r="A1027" s="3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</row>
    <row r="1028" ht="30.0" customHeight="1">
      <c r="A1028" s="3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</row>
    <row r="1029" ht="30.0" customHeight="1">
      <c r="A1029" s="3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</row>
    <row r="1030" ht="30.0" customHeight="1">
      <c r="A1030" s="3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</row>
    <row r="1031" ht="30.0" customHeight="1">
      <c r="A1031" s="3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</row>
    <row r="1032" ht="30.0" customHeight="1">
      <c r="A1032" s="3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</row>
    <row r="1033" ht="30.0" customHeight="1">
      <c r="A1033" s="3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</row>
  </sheetData>
  <mergeCells count="11">
    <mergeCell ref="C47:D47"/>
    <mergeCell ref="B53:G53"/>
    <mergeCell ref="B61:G61"/>
    <mergeCell ref="B70:D70"/>
    <mergeCell ref="A1:G1"/>
    <mergeCell ref="G2:G6"/>
    <mergeCell ref="E11:G11"/>
    <mergeCell ref="A17:G17"/>
    <mergeCell ref="B37:F37"/>
    <mergeCell ref="A38:G38"/>
    <mergeCell ref="C46:D46"/>
  </mergeCells>
  <hyperlinks>
    <hyperlink r:id="rId1" ref="B13"/>
    <hyperlink r:id="rId2" ref="B41"/>
  </hyperlinks>
  <printOptions horizontalCentered="1"/>
  <pageMargins bottom="0.4" footer="0.0" header="0.0" left="0.4" right="0.4" top="0.4"/>
  <pageSetup fitToHeight="0" orientation="portrait"/>
  <headerFooter>
    <oddFooter/>
  </headerFooter>
  <drawing r:id="rId3"/>
</worksheet>
</file>